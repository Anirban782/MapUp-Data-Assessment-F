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mesh\Downloads\MapUp-Data-Assessment-F-main\MapUp-Data-Assessment-F-main\"/>
    </mc:Choice>
  </mc:AlternateContent>
  <xr:revisionPtr revIDLastSave="0" documentId="13_ncr:1_{F3B3C668-8F87-4641-AAB4-44BB915210AA}" xr6:coauthVersionLast="47" xr6:coauthVersionMax="47" xr10:uidLastSave="{00000000-0000-0000-0000-000000000000}"/>
  <bookViews>
    <workbookView xWindow="-110" yWindow="-110" windowWidth="19420" windowHeight="110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D28" i="18"/>
  <c r="E28" i="18"/>
  <c r="F28" i="18"/>
  <c r="F30" i="18"/>
  <c r="E30" i="18"/>
  <c r="D30" i="18"/>
  <c r="C30" i="18"/>
  <c r="B30" i="18"/>
  <c r="F29" i="18"/>
  <c r="E29" i="18"/>
  <c r="D29" i="18"/>
  <c r="C29" i="18"/>
  <c r="B29" i="18"/>
  <c r="C28" i="18"/>
  <c r="B28" i="18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<sst xmlns="http://schemas.openxmlformats.org/spreadsheetml/2006/main" count="404" uniqueCount="181">
  <si>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</si>
  <si>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</si>
  <si>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</si>
  <si>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</si>
  <si>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</si>
  <si>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</si>
  <si>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</si>
  <si>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</si>
  <si>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</si>
  <si>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</si>
  <si>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</si>
  <si>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</si>
  <si>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</si>
  <si>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</si>
  <si>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</si>
  <si>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</si>
  <si>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</si>
  <si>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</si>
  <si>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</si>
  <si>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</si>
  <si>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</si>
  <si>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</si>
  <si>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</si>
  <si>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</si>
  <si>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</si>
  <si>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</si>
  <si>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</si>
  <si>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</si>
  <si>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</si>
  <si>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</si>
  <si>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</si>
  <si>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</si>
  <si>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</si>
  <si>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</si>
  <si>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</si>
  <si>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</si>
  <si>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</si>
  <si>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</si>
  <si>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</si>
  <si>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</si>
  <si>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</si>
  <si>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</si>
  <si>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</si>
  <si>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</si>
  <si>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</si>
  <si>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</si>
  <si>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</si>
  <si>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</si>
  <si>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</si>
  <si>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</si>
  <si>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</si>
  <si>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</si>
  <si>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</si>
  <si>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</si>
  <si>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</si>
  <si>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</si>
  <si>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</si>
  <si>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</si>
  <si>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</si>
  <si>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</si>
  <si>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</si>
  <si>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</si>
  <si>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</si>
  <si>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</si>
  <si>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</si>
  <si>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</si>
  <si>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</si>
  <si>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</si>
  <si>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</si>
  <si>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</si>
  <si>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</si>
  <si>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</si>
  <si>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</si>
  <si>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</si>
  <si>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</si>
  <si>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</si>
  <si>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</si>
  <si>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</si>
  <si>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</si>
  <si>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</si>
  <si>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</si>
  <si>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</si>
  <si>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</si>
  <si>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</si>
  <si>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</si>
  <si>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</si>
  <si>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</si>
  <si>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</si>
  <si>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</si>
  <si>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</si>
  <si>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</si>
  <si>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</si>
  <si>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</si>
  <si>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</si>
  <si>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</si>
  <si>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</si>
  <si>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</si>
  <si>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</si>
  <si>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</si>
  <si>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</si>
  <si>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</si>
  <si>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</si>
  <si>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</si>
  <si>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</si>
  <si>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</si>
  <si>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</si>
  <si>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</si>
  <si>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</si>
  <si>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</si>
  <si>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</si>
  <si>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</si>
  <si>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</si>
  <si>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</si>
  <si>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</si>
  <si>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</si>
  <si>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</si>
  <si>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</si>
  <si>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</si>
  <si>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</si>
  <si>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</si>
  <si>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</si>
  <si>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</si>
  <si>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</si>
  <si>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</si>
  <si>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</si>
  <si>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</si>
  <si>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</si>
  <si>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</si>
  <si>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</si>
  <si>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</si>
  <si>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</si>
  <si>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</si>
  <si>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</si>
  <si>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</si>
  <si>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</si>
  <si>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</si>
  <si>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</si>
  <si>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</si>
  <si>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</si>
  <si>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SUMIFS(H:H, 'car2': 'car2', "&gt;20")</t>
  </si>
  <si>
    <t>TEXT(X1, "yyyy-mm-dd")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</si>
  <si>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</si>
  <si>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</si>
  <si>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</si>
  <si>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</si>
  <si>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</si>
  <si>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</si>
  <si>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</si>
  <si>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</si>
  <si>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</si>
  <si>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</si>
  <si>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</si>
  <si>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</si>
  <si>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</si>
  <si>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</si>
  <si>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</si>
  <si>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</si>
  <si>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</si>
  <si>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</si>
  <si>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</si>
  <si>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</si>
  <si>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</si>
  <si>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</si>
  <si>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</si>
  <si>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</si>
  <si>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</si>
  <si>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</si>
  <si>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</si>
  <si>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</si>
  <si>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</si>
  <si>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</si>
  <si>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</si>
  <si>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</si>
  <si>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</si>
  <si>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</si>
  <si>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</si>
  <si>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</si>
  <si>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</si>
  <si>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</si>
  <si>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Selecting whole cell entered into the data select text columns,by delimiting the cells they can seperated by the cells.</t>
  </si>
  <si>
    <t>BY USING AUTOSUM ,ITS EASY TO SUM THE PARTICULAR CELL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</si>
</sst>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6" t="s">
        <v>133</v>
      </c>
      <c r="B9" s="26" t="s">
        <v>131</v>
      </c>
    </row>
    <row r="10" spans="1:3" x14ac:dyDescent="0.3">
      <c r="A10" s="35" t="s">
        <v>134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132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B1" zoomScale="85" zoomScaleNormal="100" workbookViewId="0">
      <pane ySplit="1" topLeftCell="A7" activePane="bottomLeft" state="frozen"/>
      <selection pane="bottomLeft" activeCell="C19" sqref="C19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9.4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ht="10.5" customHeight="1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1">
        <v>0</v>
      </c>
      <c r="E19" s="1" t="s">
        <v>6</v>
      </c>
      <c r="F19" s="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1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1">
        <v>0</v>
      </c>
      <c r="E20" s="1" t="s">
        <v>6</v>
      </c>
      <c r="F20" s="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1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1">
        <v>0</v>
      </c>
      <c r="E21" s="1" t="s">
        <v>6</v>
      </c>
      <c r="F21" s="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1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phoneticPr fontId="10" type="noConversion"/>
  <conditionalFormatting sqref="B19:Y21 A1:A1048576">
    <cfRule type="duplicateValues" dxfId="2" priority="8"/>
  </conditionalFormatting>
  <conditionalFormatting sqref="B1:B18 B22:B1048576">
    <cfRule type="duplicateValues" dxfId="4" priority="7"/>
  </conditionalFormatting>
  <conditionalFormatting sqref="J2:L11 J13:L18 J22:L4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:U12">
    <cfRule type="colorScale" priority="5">
      <colorScale>
        <cfvo type="min"/>
        <cfvo type="max"/>
        <color rgb="FFFCFCFF"/>
        <color rgb="FF63BE7B"/>
      </colorScale>
    </cfRule>
  </conditionalFormatting>
  <conditionalFormatting sqref="G26">
    <cfRule type="colorScale" priority="4">
      <colorScale>
        <cfvo type="min"/>
        <cfvo type="max"/>
        <color rgb="FFFCFCFF"/>
        <color rgb="FF63BE7B"/>
      </colorScale>
    </cfRule>
  </conditionalFormatting>
  <conditionalFormatting sqref="H26:I26">
    <cfRule type="colorScale" priority="3">
      <colorScale>
        <cfvo type="min"/>
        <cfvo type="max"/>
        <color rgb="FFFCFCFF"/>
        <color rgb="FF63BE7B"/>
      </colorScale>
    </cfRule>
  </conditionalFormatting>
  <conditionalFormatting sqref="M26:W26">
    <cfRule type="colorScale" priority="2">
      <colorScale>
        <cfvo type="min"/>
        <cfvo type="max"/>
        <color rgb="FFFCFCFF"/>
        <color rgb="FF63BE7B"/>
      </colorScale>
    </cfRule>
  </conditionalFormatting>
  <conditionalFormatting sqref="V12:W12">
    <cfRule type="colorScale" priority="1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8" sqref="C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5">
      <c r="A2" s="2"/>
      <c r="B2" s="5" t="s">
        <v>122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139</v>
      </c>
      <c r="E5" s="1">
        <v>10</v>
      </c>
    </row>
    <row r="6" spans="1:5" x14ac:dyDescent="0.35">
      <c r="A6" s="6">
        <v>4</v>
      </c>
      <c r="B6" s="2" t="s">
        <v>106</v>
      </c>
      <c r="C6" s="2" t="s">
        <v>140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0" zoomScaleNormal="100" workbookViewId="0">
      <selection activeCell="B28" sqref="B28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126</v>
      </c>
    </row>
    <row r="2" spans="1:7" s="41" customFormat="1" ht="21" x14ac:dyDescent="0.5">
      <c r="B2" s="41" t="s">
        <v>123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124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4.5" x14ac:dyDescent="0.3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5" x14ac:dyDescent="0.35">
      <c r="A8" s="7" t="s">
        <v>7</v>
      </c>
      <c r="B8" s="12">
        <v>3.6</v>
      </c>
      <c r="C8" s="12">
        <v>11.1</v>
      </c>
      <c r="D8" s="12">
        <v>5.4</v>
      </c>
      <c r="E8" s="12">
        <v>12.2</v>
      </c>
      <c r="F8" s="8">
        <v>5.8</v>
      </c>
    </row>
    <row r="9" spans="1:7" ht="14.5" x14ac:dyDescent="0.35">
      <c r="A9" s="7" t="s">
        <v>8</v>
      </c>
      <c r="B9" s="12">
        <v>4.9000000000000004</v>
      </c>
      <c r="C9" s="12">
        <v>13.3</v>
      </c>
      <c r="D9" s="12">
        <v>6.6</v>
      </c>
      <c r="E9" s="12">
        <v>17</v>
      </c>
      <c r="F9" s="8">
        <v>8.1</v>
      </c>
    </row>
    <row r="10" spans="1:7" ht="14.5" x14ac:dyDescent="0.35">
      <c r="A10" s="7" t="s">
        <v>11</v>
      </c>
      <c r="B10" s="1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5" x14ac:dyDescent="0.35">
      <c r="A11" s="7" t="s">
        <v>12</v>
      </c>
      <c r="B11" s="1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5" x14ac:dyDescent="0.3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5" x14ac:dyDescent="0.3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5" x14ac:dyDescent="0.35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5" x14ac:dyDescent="0.3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5" x14ac:dyDescent="0.3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5" x14ac:dyDescent="0.3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5" x14ac:dyDescent="0.3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5" x14ac:dyDescent="0.3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5" x14ac:dyDescent="0.3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5" x14ac:dyDescent="0.3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5" x14ac:dyDescent="0.3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5" x14ac:dyDescent="0.3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5" x14ac:dyDescent="0.3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5" x14ac:dyDescent="0.3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5" x14ac:dyDescent="0.3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5" x14ac:dyDescent="0.3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>MIN(C6:C27)</f>
        <v>-1</v>
      </c>
      <c r="D28" s="31">
        <f>MIN(F6:F27)</f>
        <v>-1</v>
      </c>
      <c r="E28" s="31">
        <f>MIN(F6:F27)</f>
        <v>-1</v>
      </c>
      <c r="F28" s="31">
        <f>MIN(F6:F27)</f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37.713636363636361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2"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136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113</v>
      </c>
    </row>
    <row r="5" spans="1:10" ht="18.5" x14ac:dyDescent="0.45">
      <c r="A5" s="43" t="s">
        <v>53</v>
      </c>
      <c r="B5" s="40" t="s">
        <v>179</v>
      </c>
      <c r="C5" s="40"/>
      <c r="D5" s="40"/>
      <c r="E5" s="40"/>
      <c r="F5" s="40"/>
      <c r="G5" s="40"/>
      <c r="H5" s="40"/>
    </row>
    <row r="6" spans="1:10" ht="18.5" x14ac:dyDescent="0.45">
      <c r="A6" s="43" t="s">
        <v>115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127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112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124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112</v>
      </c>
      <c r="B16" s="12">
        <v>20000</v>
      </c>
      <c r="C16" s="12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141</v>
      </c>
      <c r="B17" s="12">
        <v>20000</v>
      </c>
      <c r="C17" s="12" t="s">
        <v>5</v>
      </c>
      <c r="D17" s="12">
        <v>0</v>
      </c>
      <c r="E17" s="1" t="s">
        <v>6</v>
      </c>
      <c r="F17" s="12">
        <v>25</v>
      </c>
    </row>
    <row r="18" spans="1:6" x14ac:dyDescent="0.35">
      <c r="A18" s="7" t="s">
        <v>142</v>
      </c>
      <c r="B18" s="12">
        <v>20000</v>
      </c>
      <c r="C18" s="12" t="s">
        <v>5</v>
      </c>
      <c r="D18" s="12">
        <v>0</v>
      </c>
      <c r="E18" s="1" t="s">
        <v>6</v>
      </c>
      <c r="F18" s="12">
        <v>26</v>
      </c>
    </row>
    <row r="19" spans="1:6" x14ac:dyDescent="0.35">
      <c r="A19" s="7" t="s">
        <v>143</v>
      </c>
      <c r="B19" s="12">
        <v>20000</v>
      </c>
      <c r="C19" s="12" t="s">
        <v>5</v>
      </c>
      <c r="D19" s="12">
        <v>0</v>
      </c>
      <c r="E19" s="1" t="s">
        <v>6</v>
      </c>
      <c r="F19" s="12">
        <v>27</v>
      </c>
    </row>
    <row r="20" spans="1:6" x14ac:dyDescent="0.35">
      <c r="A20" s="7" t="s">
        <v>144</v>
      </c>
      <c r="B20" s="12">
        <v>20000</v>
      </c>
      <c r="C20" s="12" t="s">
        <v>5</v>
      </c>
      <c r="D20" s="12">
        <v>0</v>
      </c>
      <c r="E20" s="1" t="s">
        <v>6</v>
      </c>
      <c r="F20" s="12">
        <v>28</v>
      </c>
    </row>
    <row r="21" spans="1:6" x14ac:dyDescent="0.35">
      <c r="A21" s="7" t="s">
        <v>145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</row>
    <row r="22" spans="1:6" x14ac:dyDescent="0.35">
      <c r="A22" s="7" t="s">
        <v>146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</row>
    <row r="23" spans="1:6" x14ac:dyDescent="0.35">
      <c r="A23" s="7" t="s">
        <v>147</v>
      </c>
      <c r="B23" s="12">
        <v>20000</v>
      </c>
      <c r="C23" s="1" t="s">
        <v>5</v>
      </c>
      <c r="D23" s="12">
        <v>0</v>
      </c>
      <c r="E23" s="1" t="s">
        <v>6</v>
      </c>
      <c r="F23" s="12">
        <v>31</v>
      </c>
    </row>
    <row r="24" spans="1:6" x14ac:dyDescent="0.35">
      <c r="A24" s="7" t="s">
        <v>148</v>
      </c>
      <c r="B24" s="12">
        <v>20000</v>
      </c>
      <c r="C24" s="1" t="s">
        <v>5</v>
      </c>
      <c r="D24" s="12">
        <v>0</v>
      </c>
      <c r="E24" s="1" t="s">
        <v>6</v>
      </c>
      <c r="F24" s="12">
        <v>32</v>
      </c>
    </row>
    <row r="25" spans="1:6" x14ac:dyDescent="0.35">
      <c r="A25" s="7" t="s">
        <v>149</v>
      </c>
      <c r="B25" s="12">
        <v>20000</v>
      </c>
      <c r="C25" s="1" t="s">
        <v>5</v>
      </c>
      <c r="D25" s="12">
        <v>0</v>
      </c>
      <c r="E25" s="1" t="s">
        <v>6</v>
      </c>
      <c r="F25" s="12">
        <v>33</v>
      </c>
    </row>
    <row r="26" spans="1:6" x14ac:dyDescent="0.35">
      <c r="A26" s="7" t="s">
        <v>150</v>
      </c>
      <c r="B26" s="12">
        <v>20000</v>
      </c>
      <c r="C26" s="1" t="s">
        <v>5</v>
      </c>
      <c r="D26" s="12">
        <v>0</v>
      </c>
      <c r="E26" s="1" t="s">
        <v>6</v>
      </c>
      <c r="F26" s="12">
        <v>34</v>
      </c>
    </row>
    <row r="27" spans="1:6" x14ac:dyDescent="0.35">
      <c r="A27" s="7" t="s">
        <v>151</v>
      </c>
      <c r="B27" s="12">
        <v>20000</v>
      </c>
      <c r="C27" s="1" t="s">
        <v>5</v>
      </c>
      <c r="D27" s="12">
        <v>0</v>
      </c>
      <c r="E27" s="1" t="s">
        <v>6</v>
      </c>
      <c r="F27" s="12">
        <v>35</v>
      </c>
    </row>
    <row r="28" spans="1:6" x14ac:dyDescent="0.35">
      <c r="A28" s="7" t="s">
        <v>152</v>
      </c>
      <c r="B28" s="12">
        <v>20000</v>
      </c>
      <c r="C28" s="1" t="s">
        <v>5</v>
      </c>
      <c r="D28" s="12">
        <v>0</v>
      </c>
      <c r="E28" s="1" t="s">
        <v>6</v>
      </c>
      <c r="F28" s="12">
        <v>36</v>
      </c>
    </row>
    <row r="29" spans="1:6" x14ac:dyDescent="0.35">
      <c r="A29" s="7" t="s">
        <v>153</v>
      </c>
      <c r="B29" s="12">
        <v>20000</v>
      </c>
      <c r="C29" s="1" t="s">
        <v>5</v>
      </c>
      <c r="D29" s="12">
        <v>0</v>
      </c>
      <c r="E29" s="1" t="s">
        <v>6</v>
      </c>
      <c r="F29" s="12">
        <v>37</v>
      </c>
    </row>
    <row r="30" spans="1:6" x14ac:dyDescent="0.35">
      <c r="A30" s="7" t="s">
        <v>154</v>
      </c>
      <c r="B30" s="12">
        <v>20000</v>
      </c>
      <c r="C30" s="1" t="s">
        <v>5</v>
      </c>
      <c r="D30" s="12">
        <v>0</v>
      </c>
      <c r="E30" s="1" t="s">
        <v>6</v>
      </c>
      <c r="F30" s="12">
        <v>38</v>
      </c>
    </row>
    <row r="31" spans="1:6" x14ac:dyDescent="0.35">
      <c r="A31" s="7" t="s">
        <v>155</v>
      </c>
      <c r="B31" s="12">
        <v>20000</v>
      </c>
      <c r="C31" s="1" t="s">
        <v>5</v>
      </c>
      <c r="D31" s="12">
        <v>0</v>
      </c>
      <c r="E31" s="1" t="s">
        <v>6</v>
      </c>
      <c r="F31" s="12">
        <v>39</v>
      </c>
    </row>
    <row r="32" spans="1:6" x14ac:dyDescent="0.35">
      <c r="A32" s="7" t="s">
        <v>156</v>
      </c>
      <c r="B32" s="12">
        <v>20000</v>
      </c>
      <c r="C32" s="1" t="s">
        <v>5</v>
      </c>
      <c r="D32" s="12">
        <v>0</v>
      </c>
      <c r="E32" s="1" t="s">
        <v>6</v>
      </c>
      <c r="F32" s="12">
        <v>40</v>
      </c>
    </row>
    <row r="33" spans="1:6" x14ac:dyDescent="0.35">
      <c r="A33" s="7" t="s">
        <v>157</v>
      </c>
      <c r="B33" s="12">
        <v>20000</v>
      </c>
      <c r="C33" s="1" t="s">
        <v>5</v>
      </c>
      <c r="D33" s="12">
        <v>0</v>
      </c>
      <c r="E33" s="1" t="s">
        <v>6</v>
      </c>
      <c r="F33" s="12">
        <v>41</v>
      </c>
    </row>
    <row r="34" spans="1:6" x14ac:dyDescent="0.35">
      <c r="A34" s="7" t="s">
        <v>158</v>
      </c>
      <c r="B34" s="12">
        <v>20000</v>
      </c>
      <c r="C34" s="1" t="s">
        <v>5</v>
      </c>
      <c r="D34" s="12">
        <v>0</v>
      </c>
      <c r="E34" s="1" t="s">
        <v>6</v>
      </c>
      <c r="F34" s="12">
        <v>42</v>
      </c>
    </row>
    <row r="35" spans="1:6" x14ac:dyDescent="0.35">
      <c r="A35" s="7" t="s">
        <v>159</v>
      </c>
      <c r="B35" s="12">
        <v>20000</v>
      </c>
      <c r="C35" s="1" t="s">
        <v>5</v>
      </c>
      <c r="D35" s="12">
        <v>0</v>
      </c>
      <c r="E35" s="1" t="s">
        <v>6</v>
      </c>
      <c r="F35" s="12">
        <v>43</v>
      </c>
    </row>
    <row r="36" spans="1:6" x14ac:dyDescent="0.35">
      <c r="A36" s="7" t="s">
        <v>160</v>
      </c>
      <c r="B36" s="12">
        <v>20000</v>
      </c>
      <c r="C36" s="1" t="s">
        <v>5</v>
      </c>
      <c r="D36" s="12">
        <v>0</v>
      </c>
      <c r="E36" s="1" t="s">
        <v>6</v>
      </c>
      <c r="F36" s="12">
        <v>44</v>
      </c>
    </row>
    <row r="37" spans="1:6" x14ac:dyDescent="0.35">
      <c r="A37" s="7" t="s">
        <v>161</v>
      </c>
      <c r="B37" s="12">
        <v>20000</v>
      </c>
      <c r="C37" s="1" t="s">
        <v>5</v>
      </c>
      <c r="D37" s="12">
        <v>0</v>
      </c>
      <c r="E37" s="1" t="s">
        <v>6</v>
      </c>
      <c r="F37" s="12">
        <v>45</v>
      </c>
    </row>
    <row r="38" spans="1:6" x14ac:dyDescent="0.35">
      <c r="A38" s="7" t="s">
        <v>162</v>
      </c>
      <c r="B38" s="12">
        <v>20000</v>
      </c>
      <c r="C38" s="1" t="s">
        <v>5</v>
      </c>
      <c r="D38" s="12">
        <v>0</v>
      </c>
      <c r="E38" s="1" t="s">
        <v>6</v>
      </c>
      <c r="F38" s="12">
        <v>46</v>
      </c>
    </row>
    <row r="39" spans="1:6" x14ac:dyDescent="0.35">
      <c r="A39" s="7" t="s">
        <v>163</v>
      </c>
      <c r="B39" s="12">
        <v>20000</v>
      </c>
      <c r="C39" s="1" t="s">
        <v>5</v>
      </c>
      <c r="D39" s="12">
        <v>0</v>
      </c>
      <c r="E39" s="1" t="s">
        <v>6</v>
      </c>
      <c r="F39" s="12">
        <v>47</v>
      </c>
    </row>
    <row r="40" spans="1:6" x14ac:dyDescent="0.35">
      <c r="A40" s="7" t="s">
        <v>164</v>
      </c>
      <c r="B40" s="12">
        <v>20000</v>
      </c>
      <c r="C40" s="1" t="s">
        <v>5</v>
      </c>
      <c r="D40" s="12">
        <v>0</v>
      </c>
      <c r="E40" s="1" t="s">
        <v>6</v>
      </c>
      <c r="F40" s="12">
        <v>48</v>
      </c>
    </row>
    <row r="41" spans="1:6" x14ac:dyDescent="0.35">
      <c r="A41" s="7" t="s">
        <v>165</v>
      </c>
      <c r="B41" s="12">
        <v>20000</v>
      </c>
      <c r="C41" s="1" t="s">
        <v>5</v>
      </c>
      <c r="D41" s="12">
        <v>0</v>
      </c>
      <c r="E41" s="1" t="s">
        <v>6</v>
      </c>
      <c r="F41" s="12">
        <v>49</v>
      </c>
    </row>
    <row r="42" spans="1:6" x14ac:dyDescent="0.35">
      <c r="A42" s="7" t="s">
        <v>166</v>
      </c>
      <c r="B42" s="12">
        <v>20000</v>
      </c>
      <c r="C42" s="1" t="s">
        <v>5</v>
      </c>
      <c r="D42" s="12">
        <v>0</v>
      </c>
      <c r="E42" s="1" t="s">
        <v>6</v>
      </c>
      <c r="F42" s="12">
        <v>50</v>
      </c>
    </row>
    <row r="43" spans="1:6" x14ac:dyDescent="0.35">
      <c r="A43" s="7" t="s">
        <v>167</v>
      </c>
      <c r="B43" s="12">
        <v>20000</v>
      </c>
      <c r="C43" s="1" t="s">
        <v>5</v>
      </c>
      <c r="D43" s="12">
        <v>0</v>
      </c>
      <c r="E43" s="1" t="s">
        <v>6</v>
      </c>
      <c r="F43" s="12">
        <v>51</v>
      </c>
    </row>
    <row r="44" spans="1:6" x14ac:dyDescent="0.35">
      <c r="A44" s="7" t="s">
        <v>168</v>
      </c>
      <c r="B44" s="12">
        <v>20000</v>
      </c>
      <c r="C44" s="1" t="s">
        <v>5</v>
      </c>
      <c r="D44" s="12">
        <v>0</v>
      </c>
      <c r="E44" s="1" t="s">
        <v>6</v>
      </c>
      <c r="F44" s="12">
        <v>52</v>
      </c>
    </row>
    <row r="45" spans="1:6" x14ac:dyDescent="0.35">
      <c r="A45" s="7" t="s">
        <v>169</v>
      </c>
      <c r="B45" s="12">
        <v>20000</v>
      </c>
      <c r="C45" s="1" t="s">
        <v>5</v>
      </c>
      <c r="D45" s="12">
        <v>0</v>
      </c>
      <c r="E45" s="1" t="s">
        <v>6</v>
      </c>
      <c r="F45" s="12">
        <v>53</v>
      </c>
    </row>
    <row r="46" spans="1:6" x14ac:dyDescent="0.35">
      <c r="A46" s="7" t="s">
        <v>170</v>
      </c>
      <c r="B46" s="12">
        <v>20000</v>
      </c>
      <c r="C46" s="1" t="s">
        <v>5</v>
      </c>
      <c r="D46" s="12">
        <v>0</v>
      </c>
      <c r="E46" s="1" t="s">
        <v>6</v>
      </c>
      <c r="F46" s="12">
        <v>54</v>
      </c>
    </row>
    <row r="47" spans="1:6" x14ac:dyDescent="0.35">
      <c r="A47" s="7" t="s">
        <v>171</v>
      </c>
      <c r="B47" s="12">
        <v>20000</v>
      </c>
      <c r="C47" s="1" t="s">
        <v>5</v>
      </c>
      <c r="D47" s="12">
        <v>0</v>
      </c>
      <c r="E47" s="1" t="s">
        <v>6</v>
      </c>
      <c r="F47" s="12">
        <v>55</v>
      </c>
    </row>
    <row r="48" spans="1:6" x14ac:dyDescent="0.35">
      <c r="A48" s="7" t="s">
        <v>172</v>
      </c>
      <c r="B48" s="12">
        <v>20000</v>
      </c>
      <c r="C48" s="1" t="s">
        <v>5</v>
      </c>
      <c r="D48" s="12">
        <v>0</v>
      </c>
      <c r="E48" s="1" t="s">
        <v>6</v>
      </c>
      <c r="F48" s="12">
        <v>56</v>
      </c>
    </row>
    <row r="49" spans="1:6" x14ac:dyDescent="0.35">
      <c r="A49" s="7" t="s">
        <v>173</v>
      </c>
      <c r="B49" s="12">
        <v>20000</v>
      </c>
      <c r="C49" s="1" t="s">
        <v>5</v>
      </c>
      <c r="D49" s="12">
        <v>0</v>
      </c>
      <c r="E49" s="1" t="s">
        <v>6</v>
      </c>
      <c r="F49" s="12">
        <v>57</v>
      </c>
    </row>
    <row r="50" spans="1:6" x14ac:dyDescent="0.35">
      <c r="A50" s="7" t="s">
        <v>174</v>
      </c>
      <c r="B50" s="12">
        <v>20000</v>
      </c>
      <c r="C50" s="1" t="s">
        <v>5</v>
      </c>
      <c r="D50" s="12">
        <v>0</v>
      </c>
      <c r="E50" s="1" t="s">
        <v>6</v>
      </c>
      <c r="F50" s="12">
        <v>58</v>
      </c>
    </row>
    <row r="51" spans="1:6" x14ac:dyDescent="0.35">
      <c r="A51" s="7" t="s">
        <v>175</v>
      </c>
      <c r="B51" s="12">
        <v>20000</v>
      </c>
      <c r="C51" s="1" t="s">
        <v>5</v>
      </c>
      <c r="D51" s="12">
        <v>0</v>
      </c>
      <c r="E51" s="1" t="s">
        <v>6</v>
      </c>
      <c r="F51" s="12">
        <v>59</v>
      </c>
    </row>
    <row r="52" spans="1:6" x14ac:dyDescent="0.35">
      <c r="A52" s="7" t="s">
        <v>176</v>
      </c>
      <c r="B52" s="12">
        <v>20000</v>
      </c>
      <c r="C52" s="1" t="s">
        <v>5</v>
      </c>
      <c r="D52" s="12">
        <v>0</v>
      </c>
      <c r="E52" s="1" t="s">
        <v>6</v>
      </c>
      <c r="F52" s="12">
        <v>60</v>
      </c>
    </row>
    <row r="53" spans="1:6" x14ac:dyDescent="0.35">
      <c r="A53" s="7" t="s">
        <v>177</v>
      </c>
      <c r="B53" s="12">
        <v>20000</v>
      </c>
      <c r="C53" s="1" t="s">
        <v>5</v>
      </c>
      <c r="D53" s="12">
        <v>0</v>
      </c>
      <c r="E53" s="1" t="s">
        <v>6</v>
      </c>
      <c r="F53" s="12">
        <v>61</v>
      </c>
    </row>
    <row r="54" spans="1:6" x14ac:dyDescent="0.35">
      <c r="A54" s="7" t="s">
        <v>178</v>
      </c>
      <c r="B54" s="13">
        <v>20000</v>
      </c>
      <c r="C54" s="10" t="s">
        <v>5</v>
      </c>
      <c r="D54" s="13">
        <v>0</v>
      </c>
      <c r="E54" s="10" t="s">
        <v>6</v>
      </c>
      <c r="F54" s="13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1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129</v>
      </c>
    </row>
    <row r="2" spans="1:3" ht="18.5" x14ac:dyDescent="0.45">
      <c r="B2" s="40" t="s">
        <v>128</v>
      </c>
    </row>
    <row r="5" spans="1:3" ht="14.5" x14ac:dyDescent="0.35">
      <c r="B5" s="1" t="s">
        <v>113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115</v>
      </c>
      <c r="B7" s="1" t="s">
        <v>180</v>
      </c>
    </row>
    <row r="10" spans="1:3" ht="23.5" x14ac:dyDescent="0.55000000000000004">
      <c r="A10" s="18" t="s">
        <v>124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v>20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116</v>
      </c>
      <c r="C17" s="17">
        <v>150</v>
      </c>
    </row>
    <row r="18" spans="1:3" ht="14.5" x14ac:dyDescent="0.35">
      <c r="A18" s="32">
        <v>44933</v>
      </c>
      <c r="B18" s="17" t="s">
        <v>117</v>
      </c>
      <c r="C18" s="17">
        <v>80</v>
      </c>
    </row>
    <row r="19" spans="1:3" ht="14.5" x14ac:dyDescent="0.35">
      <c r="A19" s="32">
        <v>44934</v>
      </c>
      <c r="B19" s="17" t="s">
        <v>118</v>
      </c>
      <c r="C19" s="17">
        <v>20</v>
      </c>
    </row>
    <row r="20" spans="1:3" ht="14.5" x14ac:dyDescent="0.35">
      <c r="A20" s="32">
        <v>44935</v>
      </c>
      <c r="B20" s="17" t="s">
        <v>119</v>
      </c>
      <c r="C20" s="17">
        <v>30</v>
      </c>
    </row>
    <row r="21" spans="1:3" ht="14.5" x14ac:dyDescent="0.35">
      <c r="A21" s="32">
        <v>44936</v>
      </c>
      <c r="B21" s="17" t="s">
        <v>120</v>
      </c>
      <c r="C21" s="17">
        <v>20</v>
      </c>
    </row>
    <row r="22" spans="1:3" ht="14.5" x14ac:dyDescent="0.35">
      <c r="B22" s="17" t="s">
        <v>121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4" zoomScaleNormal="100" workbookViewId="0">
      <selection activeCell="B5" sqref="B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137</v>
      </c>
    </row>
    <row r="3" spans="1:14" ht="14.5" x14ac:dyDescent="0.35">
      <c r="B3" s="1" t="s">
        <v>113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115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124</v>
      </c>
      <c r="M8" s="18" t="s">
        <v>125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130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f>IFERROR(INDEX([1]Table_A!B:B, MATCH(A9, [1]Table_A!A:A, 0)), 0) + IFERROR(INDEX([2]Table_B!B:B, MATCH(A2, [2]Table_B!A:A, 0)), 0)</f>
        <v>0</v>
      </c>
    </row>
    <row r="24" spans="1:14" ht="14.5" x14ac:dyDescent="0.35">
      <c r="A24" s="7">
        <v>10100</v>
      </c>
      <c r="B24" s="12">
        <v>10104</v>
      </c>
      <c r="C24" s="44">
        <f>IFERROR(INDEX([1]Table_A!B:B, MATCH(A10, [1]Table_A!A:A, 0)), 0) + IFERROR(INDEX([2]Table_B!B:B, MATCH(A3, [2]Table_B!A:A, 0)), 0)</f>
        <v>0</v>
      </c>
    </row>
    <row r="25" spans="1:14" ht="14.5" x14ac:dyDescent="0.35">
      <c r="A25" s="7">
        <v>10108</v>
      </c>
      <c r="B25" s="12">
        <v>10102</v>
      </c>
      <c r="C25" s="44">
        <f>IFERROR(INDEX([1]Table_A!B:B, MATCH(A11, [1]Table_A!A:A, 0)), 0) + IFERROR(INDEX([2]Table_B!B:B, MATCH(A4, [2]Table_B!A:A, 0)), 0)</f>
        <v>0</v>
      </c>
    </row>
    <row r="26" spans="1:14" ht="14.5" x14ac:dyDescent="0.35">
      <c r="A26" s="7">
        <v>10100</v>
      </c>
      <c r="B26" s="12">
        <v>10106</v>
      </c>
      <c r="C26" s="44">
        <f>IFERROR(INDEX([1]Table_A!B:B, MATCH(A12, [1]Table_A!A:A, 0)), 0) + IFERROR(INDEX([2]Table_B!B:B, MATCH(A5, [2]Table_B!A:A, 0)), 0)</f>
        <v>0</v>
      </c>
    </row>
    <row r="27" spans="1:14" ht="14.5" x14ac:dyDescent="0.35">
      <c r="A27" s="7">
        <v>10108</v>
      </c>
      <c r="B27" s="12">
        <v>10110</v>
      </c>
      <c r="C27" s="44">
        <f>IFERROR(INDEX([1]Table_A!B:B, MATCH(A13, [1]Table_A!A:A, 0)), 0) + IFERROR(INDEX([2]Table_B!B:B, MATCH(A6, [2]Table_B!A:A, 0)), 0)</f>
        <v>0</v>
      </c>
    </row>
    <row r="28" spans="1:14" ht="14.5" x14ac:dyDescent="0.35">
      <c r="A28" s="7">
        <v>10102</v>
      </c>
      <c r="B28" s="12">
        <v>10104</v>
      </c>
      <c r="C28" s="44">
        <f>IFERROR(INDEX([1]Table_A!B:B, MATCH(A14, [1]Table_A!A:A, 0)), 0) + IFERROR(INDEX([2]Table_B!B:B, MATCH(A7, [2]Table_B!A:A, 0)), 0)</f>
        <v>0</v>
      </c>
    </row>
    <row r="29" spans="1:14" ht="14.5" x14ac:dyDescent="0.35">
      <c r="A29" s="7">
        <v>10106</v>
      </c>
      <c r="B29" s="12">
        <v>10108</v>
      </c>
      <c r="C29" s="44">
        <f>IFERROR(INDEX([1]Table_A!B:B, MATCH(A15, [1]Table_A!A:A, 0)), 0) + IFERROR(INDEX([2]Table_B!B:B, MATCH(A8, [2]Table_B!A:A, 0)), 0)</f>
        <v>0</v>
      </c>
    </row>
    <row r="30" spans="1:14" ht="14.5" x14ac:dyDescent="0.35">
      <c r="A30" s="7">
        <v>10102</v>
      </c>
      <c r="B30" s="12">
        <v>10106</v>
      </c>
      <c r="C30" s="44">
        <f>IFERROR(INDEX([1]Table_A!B:B, MATCH(A16, [1]Table_A!A:A, 0)), 0) + IFERROR(INDEX([2]Table_B!B:B, MATCH(A9, [2]Table_B!A:A, 0)), 0)</f>
        <v>0</v>
      </c>
    </row>
    <row r="31" spans="1:14" ht="14.5" x14ac:dyDescent="0.35">
      <c r="A31" s="7">
        <v>10110</v>
      </c>
      <c r="B31" s="12">
        <v>10114</v>
      </c>
      <c r="C31" s="44">
        <f>IFERROR(INDEX([1]Table_A!B:B, MATCH(A17, [1]Table_A!A:A, 0)), 0) + IFERROR(INDEX([2]Table_B!B:B, MATCH(A10, [2]Table_B!A:A, 0)), 0)</f>
        <v>0</v>
      </c>
    </row>
    <row r="32" spans="1:14" ht="14.5" x14ac:dyDescent="0.35">
      <c r="A32" s="7">
        <v>10104</v>
      </c>
      <c r="B32" s="12">
        <v>10106</v>
      </c>
      <c r="C32" s="44">
        <f>IFERROR(INDEX([1]Table_A!B:B, MATCH(A18, [1]Table_A!A:A, 0)), 0) + IFERROR(INDEX([2]Table_B!B:B, MATCH(A11, [2]Table_B!A:A, 0)), 0)</f>
        <v>0</v>
      </c>
    </row>
    <row r="33" spans="1:3" ht="14.5" x14ac:dyDescent="0.35">
      <c r="A33" s="7">
        <v>10110</v>
      </c>
      <c r="B33" s="12">
        <v>10112</v>
      </c>
      <c r="C33" s="44">
        <f>IFERROR(INDEX([1]Table_A!B:B, MATCH(A19, [1]Table_A!A:A, 0)), 0) + IFERROR(INDEX([2]Table_B!B:B, MATCH(A12, [2]Table_B!A:A, 0)), 0)</f>
        <v>0</v>
      </c>
    </row>
    <row r="34" spans="1:3" ht="14.5" x14ac:dyDescent="0.35">
      <c r="A34" s="7">
        <v>10100</v>
      </c>
      <c r="B34" s="12">
        <v>10114</v>
      </c>
      <c r="C34" s="44">
        <f>IFERROR(INDEX([1]Table_A!B:B, MATCH(A20, [1]Table_A!A:A, 0)), 0) + IFERROR(INDEX([2]Table_B!B:B, MATCH(A13, [2]Table_B!A:A, 0)), 0)</f>
        <v>0</v>
      </c>
    </row>
    <row r="35" spans="1:3" ht="14.5" x14ac:dyDescent="0.35">
      <c r="A35" s="9">
        <v>10112</v>
      </c>
      <c r="B35" s="13">
        <v>10116</v>
      </c>
      <c r="C35" s="44">
        <f>IFERROR(INDEX([1]Table_A!B:B, MATCH(A21, [1]Table_A!A:A, 0)), 0) + IFERROR(INDEX([2]Table_B!B:B, MATCH(A14, [2]Table_B!A:A, 0)), 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lakshmi sai pamidi</cp:lastModifiedBy>
  <dcterms:created xsi:type="dcterms:W3CDTF">2015-02-10T17:33:11Z</dcterms:created>
  <dcterms:modified xsi:type="dcterms:W3CDTF">2023-12-10T19:11:05Z</dcterms:modified>
</cp:coreProperties>
</file>